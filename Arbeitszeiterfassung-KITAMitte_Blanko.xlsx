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imble/Downloads/"/>
    </mc:Choice>
  </mc:AlternateContent>
  <xr:revisionPtr revIDLastSave="0" documentId="13_ncr:1_{35D2D77D-CE1E-074B-8BD2-EFA831A509A4}" xr6:coauthVersionLast="47" xr6:coauthVersionMax="47" xr10:uidLastSave="{00000000-0000-0000-0000-000000000000}"/>
  <bookViews>
    <workbookView xWindow="15240" yWindow="7240" windowWidth="29040" windowHeight="15720" xr2:uid="{101EB709-8BF5-4AC5-90B0-F07EAD1DB3CD}"/>
  </bookViews>
  <sheets>
    <sheet name="Arbeitszeit 1 quer Hand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8" l="1"/>
  <c r="O13" i="8" s="1"/>
  <c r="M12" i="8"/>
  <c r="O12" i="8" s="1"/>
  <c r="M11" i="8"/>
  <c r="O11" i="8" s="1"/>
  <c r="M10" i="8"/>
  <c r="O10" i="8" s="1"/>
  <c r="M9" i="8"/>
  <c r="O9" i="8" s="1"/>
  <c r="M31" i="8"/>
  <c r="O31" i="8" s="1"/>
  <c r="M30" i="8"/>
  <c r="O30" i="8" s="1"/>
  <c r="M29" i="8"/>
  <c r="O29" i="8" s="1"/>
  <c r="M28" i="8"/>
  <c r="O28" i="8" s="1"/>
  <c r="M27" i="8"/>
  <c r="O27" i="8" s="1"/>
  <c r="M25" i="8"/>
  <c r="O25" i="8" s="1"/>
  <c r="M24" i="8"/>
  <c r="O24" i="8" s="1"/>
  <c r="M23" i="8"/>
  <c r="O23" i="8" s="1"/>
  <c r="M22" i="8"/>
  <c r="O22" i="8" s="1"/>
  <c r="M21" i="8"/>
  <c r="O21" i="8" s="1"/>
  <c r="M19" i="8"/>
  <c r="O19" i="8" s="1"/>
  <c r="M18" i="8"/>
  <c r="O18" i="8" s="1"/>
  <c r="M17" i="8"/>
  <c r="O17" i="8" s="1"/>
  <c r="M16" i="8"/>
  <c r="O16" i="8" s="1"/>
  <c r="M15" i="8"/>
  <c r="O15" i="8" s="1"/>
  <c r="M5" i="8"/>
  <c r="O5" i="8" s="1"/>
  <c r="M6" i="8"/>
  <c r="O6" i="8" s="1"/>
  <c r="M7" i="8"/>
  <c r="O7" i="8" s="1"/>
  <c r="M3" i="8"/>
  <c r="O3" i="8" s="1"/>
  <c r="M4" i="8"/>
  <c r="O4" i="8" s="1"/>
  <c r="N26" i="8"/>
  <c r="N8" i="8"/>
  <c r="N32" i="8" l="1"/>
  <c r="N20" i="8"/>
  <c r="O20" i="8"/>
  <c r="N14" i="8"/>
  <c r="M14" i="8"/>
  <c r="M32" i="8"/>
  <c r="M26" i="8"/>
  <c r="M20" i="8"/>
  <c r="M8" i="8"/>
  <c r="O8" i="8"/>
  <c r="O32" i="8"/>
  <c r="O26" i="8"/>
  <c r="N33" i="8" l="1"/>
  <c r="M33" i="8"/>
  <c r="P25" i="8"/>
  <c r="O14" i="8" l="1"/>
  <c r="P27" i="8" s="1"/>
  <c r="P32" i="8" s="1"/>
</calcChain>
</file>

<file path=xl/sharedStrings.xml><?xml version="1.0" encoding="utf-8"?>
<sst xmlns="http://schemas.openxmlformats.org/spreadsheetml/2006/main" count="37" uniqueCount="27">
  <si>
    <t>Begründung</t>
  </si>
  <si>
    <t>Gesamt Woche</t>
  </si>
  <si>
    <t>Gesamt Monat</t>
  </si>
  <si>
    <t>Überstd.</t>
  </si>
  <si>
    <t>Tag</t>
  </si>
  <si>
    <t>IST Arbeitszeit</t>
  </si>
  <si>
    <t>Soll Arbeitszeit</t>
  </si>
  <si>
    <t>Tätig 
von</t>
  </si>
  <si>
    <t>Tätig 
bis</t>
  </si>
  <si>
    <t>Pause von</t>
  </si>
  <si>
    <t>Pause bis</t>
  </si>
  <si>
    <t>Ü-Std- Monat</t>
  </si>
  <si>
    <t>Ü-Std. Vormonat</t>
  </si>
  <si>
    <t>Übertrag</t>
  </si>
  <si>
    <t>nächster Monat</t>
  </si>
  <si>
    <t>Vor-bereitung
von</t>
  </si>
  <si>
    <t>Vor-bereitung
bis</t>
  </si>
  <si>
    <t>DB von</t>
  </si>
  <si>
    <t>DB bis</t>
  </si>
  <si>
    <t>Monat:</t>
  </si>
  <si>
    <t>Mitarbeiter:</t>
  </si>
  <si>
    <t>Sollstunden:</t>
  </si>
  <si>
    <t>Lichterfest</t>
  </si>
  <si>
    <t>30Std.</t>
  </si>
  <si>
    <t>Urlaub</t>
  </si>
  <si>
    <t>November</t>
  </si>
  <si>
    <t>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</si>
</sst>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d\,\ dd/\ mmm/\ yy"/>
    <numFmt numFmtId="165" formatCode="dd/mm/yy;@"/>
    <numFmt numFmtId="166" formatCode="0.00&quot; Std&quot;\ ;[Red]\-* 0.00&quot; Std&quot;\ "/>
    <numFmt numFmtId="167" formatCode="0.00_ ;[Red]\-0.00\ "/>
    <numFmt numFmtId="168" formatCode="h:mm:ss;@"/>
    <numFmt numFmtId="169" formatCode="h:mm"/>
    <numFmt numFmtId="170" formatCode="0.0000000000000000000000"/>
    <numFmt numFmtId="171" formatCode="0.00&quot; Std.&quot;"/>
    <numFmt numFmtId="172" formatCode="[Blue]0.00&quot; Std&quot;\ ;[Red]\-* 0.00&quot; Std&quot;\ "/>
  </numFmts>
  <fonts count="4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name val="Tahoma"/>
      <family val="2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2" fontId="2" fillId="0" borderId="12" xfId="0" applyNumberFormat="1" applyFont="1" applyBorder="1" applyAlignment="1" applyProtection="1">
      <alignment vertical="center"/>
      <protection locked="0"/>
    </xf>
    <xf numFmtId="164" fontId="1" fillId="0" borderId="11" xfId="0" applyNumberFormat="1" applyFont="1" applyBorder="1" applyAlignment="1" applyProtection="1">
      <alignment vertical="center"/>
      <protection locked="0"/>
    </xf>
    <xf numFmtId="165" fontId="1" fillId="2" borderId="5" xfId="0" applyNumberFormat="1" applyFont="1" applyFill="1" applyBorder="1" applyAlignment="1" applyProtection="1">
      <alignment vertical="center"/>
      <protection locked="0"/>
    </xf>
    <xf numFmtId="2" fontId="3" fillId="0" borderId="0" xfId="0" applyNumberFormat="1" applyFont="1" applyProtection="1">
      <protection locked="0"/>
    </xf>
    <xf numFmtId="0" fontId="3" fillId="2" borderId="2" xfId="0" applyFont="1" applyFill="1" applyBorder="1" applyAlignment="1" applyProtection="1">
      <alignment horizontal="right" vertical="center"/>
      <protection locked="0"/>
    </xf>
    <xf numFmtId="49" fontId="3" fillId="2" borderId="14" xfId="0" applyNumberFormat="1" applyFont="1" applyFill="1" applyBorder="1" applyAlignment="1" applyProtection="1">
      <alignment horizontal="left" vertical="center" indent="1"/>
      <protection locked="0"/>
    </xf>
    <xf numFmtId="0" fontId="3" fillId="2" borderId="4" xfId="0" applyFont="1" applyFill="1" applyBorder="1" applyAlignment="1" applyProtection="1">
      <alignment vertical="center"/>
      <protection locked="0"/>
    </xf>
    <xf numFmtId="0" fontId="3" fillId="2" borderId="15" xfId="0" applyFont="1" applyFill="1" applyBorder="1" applyAlignment="1" applyProtection="1">
      <alignment vertical="center"/>
      <protection locked="0"/>
    </xf>
    <xf numFmtId="0" fontId="3" fillId="2" borderId="14" xfId="0" applyFont="1" applyFill="1" applyBorder="1" applyAlignment="1" applyProtection="1">
      <alignment horizontal="right" vertical="center"/>
      <protection locked="0"/>
    </xf>
    <xf numFmtId="0" fontId="3" fillId="2" borderId="15" xfId="0" applyFont="1" applyFill="1" applyBorder="1" applyAlignment="1" applyProtection="1">
      <alignment horizontal="right" vertical="center"/>
      <protection locked="0"/>
    </xf>
    <xf numFmtId="171" fontId="3" fillId="2" borderId="14" xfId="0" applyNumberFormat="1" applyFont="1" applyFill="1" applyBorder="1" applyAlignment="1" applyProtection="1">
      <alignment horizontal="centerContinuous" vertical="center"/>
      <protection locked="0"/>
    </xf>
    <xf numFmtId="0" fontId="3" fillId="2" borderId="15" xfId="0" applyFont="1" applyFill="1" applyBorder="1" applyAlignment="1" applyProtection="1">
      <alignment horizontal="centerContinuous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169" fontId="2" fillId="0" borderId="12" xfId="0" applyNumberFormat="1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169" fontId="2" fillId="0" borderId="9" xfId="0" applyNumberFormat="1" applyFont="1" applyBorder="1" applyAlignment="1" applyProtection="1">
      <alignment vertical="center"/>
      <protection locked="0"/>
    </xf>
    <xf numFmtId="169" fontId="2" fillId="0" borderId="9" xfId="0" applyNumberFormat="1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/>
      <protection locked="0"/>
    </xf>
    <xf numFmtId="168" fontId="2" fillId="0" borderId="0" xfId="0" applyNumberFormat="1" applyFont="1" applyProtection="1">
      <protection locked="0"/>
    </xf>
    <xf numFmtId="167" fontId="2" fillId="0" borderId="0" xfId="0" applyNumberFormat="1" applyFont="1" applyProtection="1">
      <protection locked="0"/>
    </xf>
    <xf numFmtId="0" fontId="3" fillId="0" borderId="9" xfId="0" applyFont="1" applyBorder="1" applyAlignment="1" applyProtection="1">
      <alignment vertical="center"/>
      <protection locked="0"/>
    </xf>
    <xf numFmtId="169" fontId="2" fillId="2" borderId="1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170" fontId="2" fillId="0" borderId="0" xfId="0" applyNumberFormat="1" applyFont="1" applyProtection="1">
      <protection locked="0"/>
    </xf>
    <xf numFmtId="0" fontId="2" fillId="0" borderId="7" xfId="0" applyFont="1" applyBorder="1" applyProtection="1">
      <protection locked="0"/>
    </xf>
    <xf numFmtId="166" fontId="3" fillId="0" borderId="3" xfId="0" applyNumberFormat="1" applyFont="1" applyBorder="1" applyProtection="1">
      <protection locked="0"/>
    </xf>
    <xf numFmtId="0" fontId="2" fillId="0" borderId="8" xfId="0" applyFont="1" applyBorder="1" applyProtection="1">
      <protection locked="0"/>
    </xf>
    <xf numFmtId="2" fontId="3" fillId="2" borderId="1" xfId="0" applyNumberFormat="1" applyFont="1" applyFill="1" applyBorder="1" applyAlignment="1">
      <alignment vertical="center"/>
    </xf>
    <xf numFmtId="166" fontId="3" fillId="0" borderId="3" xfId="0" applyNumberFormat="1" applyFont="1" applyBorder="1"/>
    <xf numFmtId="2" fontId="2" fillId="0" borderId="12" xfId="0" applyNumberFormat="1" applyFont="1" applyBorder="1" applyAlignment="1">
      <alignment vertical="center"/>
    </xf>
    <xf numFmtId="172" fontId="3" fillId="0" borderId="10" xfId="0" applyNumberFormat="1" applyFont="1" applyBorder="1" applyAlignment="1">
      <alignment vertical="center"/>
    </xf>
    <xf numFmtId="172" fontId="3" fillId="2" borderId="6" xfId="0" applyNumberFormat="1" applyFont="1" applyFill="1" applyBorder="1" applyAlignment="1">
      <alignment vertical="center"/>
    </xf>
    <xf numFmtId="172" fontId="3" fillId="0" borderId="13" xfId="0" applyNumberFormat="1" applyFont="1" applyBorder="1" applyAlignment="1">
      <alignment vertical="center"/>
    </xf>
    <xf numFmtId="2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FF"/>
      <color rgb="FF3657F7"/>
      <color rgb="FF8BA9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F1F1-415B-4FE4-A3CF-5D9DCAA94270}">
  <sheetPr>
    <pageSetUpPr fitToPage="1"/>
  </sheetPr>
  <dimension ref="A1:W34"/>
  <sheetViews>
    <sheetView showGridLines="0" tabSelected="1" view="pageLayout" topLeftCell="A6" zoomScaleNormal="100" workbookViewId="0">
      <selection activeCell="I2" sqref="I2"/>
    </sheetView>
  </sheetViews>
  <sheetFormatPr baseColWidth="10" defaultColWidth="11.5" defaultRowHeight="14" x14ac:dyDescent="0.15"/>
  <cols>
    <col min="1" max="1" width="14.33203125" style="21" customWidth="1"/>
    <col min="2" max="11" width="9.5" style="21" customWidth="1"/>
    <col min="12" max="12" width="18.1640625" style="21" customWidth="1"/>
    <col min="13" max="14" width="11.1640625" style="21" customWidth="1"/>
    <col min="15" max="15" width="13.5" style="21" customWidth="1"/>
    <col min="16" max="16" width="16.5" style="21" customWidth="1"/>
    <col min="17" max="17" width="11.5" style="21"/>
    <col min="18" max="18" width="42.83203125" style="21" customWidth="1"/>
    <col min="19" max="16384" width="11.5" style="21"/>
  </cols>
  <sheetData>
    <row r="1" spans="1:23" s="14" customFormat="1" ht="27.75" customHeight="1" x14ac:dyDescent="0.2">
      <c r="A1" s="5" t="s">
        <v>19</v>
      </c>
      <c r="B1" s="6" t="s">
        <v>25</v>
      </c>
      <c r="C1" s="7"/>
      <c r="D1" s="7"/>
      <c r="E1" s="8"/>
      <c r="F1" s="9"/>
      <c r="G1" s="10" t="s">
        <v>20</v>
      </c>
      <c r="H1" s="9"/>
      <c r="I1" s="7" t="s">
        <v>26</v>
      </c>
      <c r="J1" s="7"/>
      <c r="K1" s="8"/>
      <c r="L1" s="5" t="s">
        <v>21</v>
      </c>
      <c r="M1" s="11" t="s">
        <v>23</v>
      </c>
      <c r="N1" s="12"/>
      <c r="O1" s="13"/>
    </row>
    <row r="2" spans="1:23" s="16" customFormat="1" ht="42" x14ac:dyDescent="0.15">
      <c r="A2" s="15" t="s">
        <v>4</v>
      </c>
      <c r="B2" s="15" t="s">
        <v>7</v>
      </c>
      <c r="C2" s="15" t="s">
        <v>8</v>
      </c>
      <c r="D2" s="15" t="s">
        <v>15</v>
      </c>
      <c r="E2" s="15" t="s">
        <v>16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9</v>
      </c>
      <c r="K2" s="15" t="s">
        <v>10</v>
      </c>
      <c r="L2" s="15" t="s">
        <v>0</v>
      </c>
      <c r="M2" s="15" t="s">
        <v>5</v>
      </c>
      <c r="N2" s="15" t="s">
        <v>6</v>
      </c>
      <c r="O2" s="15" t="s">
        <v>3</v>
      </c>
      <c r="Q2" s="17"/>
      <c r="R2" s="17"/>
      <c r="S2" s="17"/>
      <c r="T2" s="17"/>
      <c r="U2" s="17"/>
      <c r="V2" s="17"/>
      <c r="W2" s="17"/>
    </row>
    <row r="3" spans="1:23" s="20" customFormat="1" ht="20" customHeight="1" x14ac:dyDescent="0.15">
      <c r="A3" s="2">
        <v>45964</v>
      </c>
      <c r="B3" s="18">
        <v>0.33333333333333331</v>
      </c>
      <c r="C3" s="18">
        <v>0.54166666666666663</v>
      </c>
      <c r="D3" s="18"/>
      <c r="E3" s="18"/>
      <c r="F3" s="18"/>
      <c r="G3" s="18"/>
      <c r="H3" s="18"/>
      <c r="I3" s="18"/>
      <c r="J3" s="18"/>
      <c r="K3" s="18"/>
      <c r="L3" s="19"/>
      <c r="M3" s="37">
        <f>IF(L3="Überstd. Abbau",N3,IF(A3="",0,ROUND((((B3&gt;C3)+C3-B3)*24)+(((D3&gt;E3)+E3-D3)*24)+(((F3&gt;G3)+G3-F3)*24)+(((H3&gt;I3)+I3-H3)*24)-(((J3&gt;K3)+K3-J3)*24),2)))</f>
        <v>5</v>
      </c>
      <c r="N3" s="1">
        <v>6</v>
      </c>
      <c r="O3" s="38">
        <f>IF(L3="Überstd. Abbau",M3*-1,IF(A3="","",IF(M3-N3=0,"",IF(OR(M3=0,M3=""),"",M3-N3))))</f>
        <v>-1</v>
      </c>
      <c r="Q3" s="21"/>
      <c r="R3" s="21"/>
      <c r="S3" s="21"/>
      <c r="T3" s="21"/>
      <c r="U3" s="21"/>
      <c r="V3" s="21"/>
      <c r="W3" s="21"/>
    </row>
    <row r="4" spans="1:23" s="20" customFormat="1" ht="20" customHeight="1" x14ac:dyDescent="0.2">
      <c r="A4" s="2">
        <v>45965</v>
      </c>
      <c r="B4" s="18">
        <v>0.29166666666666669</v>
      </c>
      <c r="C4" s="18">
        <v>0.54166666666666663</v>
      </c>
      <c r="D4" s="22"/>
      <c r="E4" s="22"/>
      <c r="F4" s="22">
        <v>0.70833333333333337</v>
      </c>
      <c r="G4" s="22">
        <v>0.83333333333333337</v>
      </c>
      <c r="H4" s="22"/>
      <c r="I4" s="22"/>
      <c r="J4" s="22"/>
      <c r="K4" s="23"/>
      <c r="L4" s="24" t="s">
        <v>22</v>
      </c>
      <c r="M4" s="37">
        <f>IF(L4="Überstd. Abbau",N4,IF(A4="",0,ROUND((((B4&gt;C4)+C4-B4)*24)+(((D4&gt;E4)+E4-D4)*24)+(((F4&gt;G4)+G4-F4)*24)+(((H4&gt;I4)+I4-H4)*24)-(((J4&gt;K4)+K4-J4)*24),2)))</f>
        <v>9</v>
      </c>
      <c r="N4" s="1">
        <v>6</v>
      </c>
      <c r="O4" s="38">
        <f>IF(L4="Überstd. Abbau",M4*-1,IF(A4="","",IF(M4-N4=0,"",IF(OR(M4=0,M4=""),"",M4-N4))))</f>
        <v>3</v>
      </c>
    </row>
    <row r="5" spans="1:23" ht="20" customHeight="1" x14ac:dyDescent="0.15">
      <c r="A5" s="2">
        <v>45966</v>
      </c>
      <c r="B5" s="18">
        <v>0.29166666666666669</v>
      </c>
      <c r="C5" s="18">
        <v>0.54166666666666663</v>
      </c>
      <c r="D5" s="22"/>
      <c r="E5" s="22"/>
      <c r="F5" s="22"/>
      <c r="G5" s="22"/>
      <c r="H5" s="22"/>
      <c r="I5" s="22"/>
      <c r="J5" s="22"/>
      <c r="K5" s="22"/>
      <c r="L5" s="25"/>
      <c r="M5" s="37">
        <f t="shared" ref="M5:M7" si="0">IF(L5="Überstd. Abbau",N5,IF(A5="",0,ROUND((((B5&gt;C5)+C5-B5)*24)+(((D5&gt;E5)+E5-D5)*24)+(((F5&gt;G5)+G5-F5)*24)+(((H5&gt;I5)+I5-H5)*24)-(((J5&gt;K5)+K5-J5)*24),2)))</f>
        <v>6</v>
      </c>
      <c r="N5" s="1">
        <v>6</v>
      </c>
      <c r="O5" s="38" t="str">
        <f t="shared" ref="O5:O7" si="1">IF(L5="Überstd. Abbau",M5*-1,IF(A5="","",IF(M5-N5=0,"",IF(OR(M5=0,M5=""),"",M5-N5))))</f>
        <v/>
      </c>
    </row>
    <row r="6" spans="1:23" ht="20" customHeight="1" x14ac:dyDescent="0.15">
      <c r="A6" s="2">
        <v>45967</v>
      </c>
      <c r="B6" s="18">
        <v>0.29166666666666669</v>
      </c>
      <c r="C6" s="18">
        <v>0.54166666666666663</v>
      </c>
      <c r="D6" s="22"/>
      <c r="E6" s="22"/>
      <c r="F6" s="22"/>
      <c r="G6" s="22"/>
      <c r="H6" s="22"/>
      <c r="I6" s="22"/>
      <c r="J6" s="22"/>
      <c r="K6" s="22"/>
      <c r="L6" s="25"/>
      <c r="M6" s="37">
        <f t="shared" si="0"/>
        <v>6</v>
      </c>
      <c r="N6" s="1">
        <v>6</v>
      </c>
      <c r="O6" s="38" t="str">
        <f t="shared" si="1"/>
        <v/>
      </c>
      <c r="P6" s="26"/>
      <c r="Q6" s="27"/>
    </row>
    <row r="7" spans="1:23" ht="20" customHeight="1" x14ac:dyDescent="0.15">
      <c r="A7" s="2">
        <v>45968</v>
      </c>
      <c r="B7" s="18">
        <v>0.29166666666666669</v>
      </c>
      <c r="C7" s="18">
        <v>0.54166666666666663</v>
      </c>
      <c r="D7" s="22"/>
      <c r="E7" s="22"/>
      <c r="F7" s="22"/>
      <c r="G7" s="22"/>
      <c r="H7" s="22"/>
      <c r="I7" s="22"/>
      <c r="J7" s="22"/>
      <c r="K7" s="22"/>
      <c r="L7" s="28"/>
      <c r="M7" s="37">
        <f t="shared" si="0"/>
        <v>6</v>
      </c>
      <c r="N7" s="1">
        <v>6</v>
      </c>
      <c r="O7" s="38" t="str">
        <f t="shared" si="1"/>
        <v/>
      </c>
      <c r="P7" s="26"/>
      <c r="Q7" s="27"/>
    </row>
    <row r="8" spans="1:23" ht="20" customHeight="1" x14ac:dyDescent="0.15">
      <c r="A8" s="3"/>
      <c r="B8" s="29"/>
      <c r="C8" s="29"/>
      <c r="D8" s="29"/>
      <c r="E8" s="29"/>
      <c r="F8" s="29"/>
      <c r="G8" s="29"/>
      <c r="H8" s="29"/>
      <c r="I8" s="29"/>
      <c r="J8" s="29"/>
      <c r="K8" s="29"/>
      <c r="L8" s="30" t="s">
        <v>1</v>
      </c>
      <c r="M8" s="35">
        <f>IF(SUM(M3:M7)=0,"",SUM(M3:M7))</f>
        <v>32</v>
      </c>
      <c r="N8" s="35">
        <f>IF(SUM(N3:N7)=0,"",SUM(N3:N7))</f>
        <v>30</v>
      </c>
      <c r="O8" s="39">
        <f>IF(SUM(O3:O7)=0,"",SUM(O3:O7))</f>
        <v>2</v>
      </c>
      <c r="Q8" s="27"/>
    </row>
    <row r="9" spans="1:23" ht="20" customHeight="1" x14ac:dyDescent="0.15">
      <c r="A9" s="2">
        <v>45971</v>
      </c>
      <c r="B9" s="18">
        <v>0.33333333333333331</v>
      </c>
      <c r="C9" s="18">
        <v>0.54166666666666663</v>
      </c>
      <c r="D9" s="18"/>
      <c r="E9" s="18"/>
      <c r="F9" s="18"/>
      <c r="G9" s="18"/>
      <c r="H9" s="18">
        <v>0.66666666666666663</v>
      </c>
      <c r="I9" s="18">
        <v>0.75</v>
      </c>
      <c r="J9" s="18"/>
      <c r="K9" s="18"/>
      <c r="L9" s="19"/>
      <c r="M9" s="37">
        <f t="shared" ref="M9:M13" si="2">IF(L9="Überstd. Abbau",N9,IF(A9="",0,ROUND((((B9&gt;C9)+C9-B9)*24)+(((D9&gt;E9)+E9-D9)*24)+(((F9&gt;G9)+G9-F9)*24)+(((H9&gt;I9)+I9-H9)*24)-(((J9&gt;K9)+K9-J9)*24),2)))</f>
        <v>7</v>
      </c>
      <c r="N9" s="1">
        <v>6</v>
      </c>
      <c r="O9" s="40">
        <f t="shared" ref="O9:O13" si="3">IF(L9="Überstd. Abbau",M9*-1,IF(A9="","",IF(M9-N9=0,"",IF(OR(M9=0,M9=""),"",M9-N9))))</f>
        <v>1</v>
      </c>
      <c r="Q9" s="27"/>
    </row>
    <row r="10" spans="1:23" ht="20" customHeight="1" x14ac:dyDescent="0.15">
      <c r="A10" s="2">
        <v>45972</v>
      </c>
      <c r="B10" s="18">
        <v>0.29166666666666669</v>
      </c>
      <c r="C10" s="18">
        <v>0.54166666666666663</v>
      </c>
      <c r="D10" s="22"/>
      <c r="E10" s="22"/>
      <c r="F10" s="22"/>
      <c r="G10" s="22"/>
      <c r="H10" s="22"/>
      <c r="I10" s="22"/>
      <c r="J10" s="22"/>
      <c r="K10" s="23"/>
      <c r="L10" s="24"/>
      <c r="M10" s="37">
        <f t="shared" si="2"/>
        <v>6</v>
      </c>
      <c r="N10" s="1">
        <v>6</v>
      </c>
      <c r="O10" s="38" t="str">
        <f t="shared" si="3"/>
        <v/>
      </c>
      <c r="Q10" s="27"/>
    </row>
    <row r="11" spans="1:23" ht="20" customHeight="1" x14ac:dyDescent="0.15">
      <c r="A11" s="2">
        <v>45973</v>
      </c>
      <c r="B11" s="18">
        <v>0.29166666666666669</v>
      </c>
      <c r="C11" s="18">
        <v>0.54166666666666663</v>
      </c>
      <c r="D11" s="22"/>
      <c r="E11" s="22"/>
      <c r="F11" s="22"/>
      <c r="G11" s="22"/>
      <c r="H11" s="22"/>
      <c r="I11" s="22"/>
      <c r="J11" s="22"/>
      <c r="K11" s="22"/>
      <c r="L11" s="25"/>
      <c r="M11" s="37">
        <f t="shared" si="2"/>
        <v>6</v>
      </c>
      <c r="N11" s="1">
        <v>6</v>
      </c>
      <c r="O11" s="38" t="str">
        <f t="shared" si="3"/>
        <v/>
      </c>
      <c r="Q11" s="27"/>
    </row>
    <row r="12" spans="1:23" ht="20" customHeight="1" x14ac:dyDescent="0.15">
      <c r="A12" s="2">
        <v>45974</v>
      </c>
      <c r="B12" s="18">
        <v>0.29166666666666669</v>
      </c>
      <c r="C12" s="18">
        <v>0.54166666666666663</v>
      </c>
      <c r="D12" s="22"/>
      <c r="E12" s="22"/>
      <c r="F12" s="22"/>
      <c r="G12" s="22"/>
      <c r="H12" s="22"/>
      <c r="I12" s="22"/>
      <c r="J12" s="22"/>
      <c r="K12" s="22"/>
      <c r="L12" s="25"/>
      <c r="M12" s="37">
        <f t="shared" si="2"/>
        <v>6</v>
      </c>
      <c r="N12" s="1">
        <v>6</v>
      </c>
      <c r="O12" s="38" t="str">
        <f t="shared" si="3"/>
        <v/>
      </c>
      <c r="Q12" s="27"/>
    </row>
    <row r="13" spans="1:23" ht="20" customHeight="1" x14ac:dyDescent="0.15">
      <c r="A13" s="2">
        <v>45975</v>
      </c>
      <c r="B13" s="18">
        <v>0.29166666666666669</v>
      </c>
      <c r="C13" s="18">
        <v>0.54166666666666663</v>
      </c>
      <c r="D13" s="22"/>
      <c r="E13" s="22"/>
      <c r="F13" s="22"/>
      <c r="G13" s="22"/>
      <c r="H13" s="22"/>
      <c r="I13" s="22"/>
      <c r="J13" s="22"/>
      <c r="K13" s="22"/>
      <c r="L13" s="25"/>
      <c r="M13" s="37">
        <f t="shared" si="2"/>
        <v>6</v>
      </c>
      <c r="N13" s="1">
        <v>6</v>
      </c>
      <c r="O13" s="38" t="str">
        <f t="shared" si="3"/>
        <v/>
      </c>
      <c r="Q13" s="27"/>
      <c r="R13" s="31"/>
    </row>
    <row r="14" spans="1:23" ht="20" customHeight="1" x14ac:dyDescent="0.15">
      <c r="A14" s="3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0" t="s">
        <v>1</v>
      </c>
      <c r="M14" s="35">
        <f t="shared" ref="M14" si="4">IF(SUM(M9:M13)=0,"",SUM(M9:M13))</f>
        <v>31</v>
      </c>
      <c r="N14" s="35">
        <f>IF(SUM(N9:N13)=0,"",SUM(N9:N13))</f>
        <v>30</v>
      </c>
      <c r="O14" s="39">
        <f>IF(SUM(O9:O13)=0,"",SUM(O9:O13))</f>
        <v>1</v>
      </c>
      <c r="Q14" s="27"/>
    </row>
    <row r="15" spans="1:23" ht="20" customHeight="1" x14ac:dyDescent="0.15">
      <c r="A15" s="2">
        <v>45978</v>
      </c>
      <c r="B15" s="18">
        <v>0.33333333333333331</v>
      </c>
      <c r="C15" s="18">
        <v>0.54166666666666663</v>
      </c>
      <c r="D15" s="18"/>
      <c r="E15" s="18"/>
      <c r="F15" s="18"/>
      <c r="G15" s="18"/>
      <c r="H15" s="18"/>
      <c r="I15" s="18"/>
      <c r="J15" s="18"/>
      <c r="K15" s="18"/>
      <c r="L15" s="19" t="s">
        <v>24</v>
      </c>
      <c r="M15" s="37">
        <f t="shared" ref="M15:M19" si="5">IF(L15="Überstd. Abbau",N15,IF(A15="",0,ROUND((((B15&gt;C15)+C15-B15)*24)+(((D15&gt;E15)+E15-D15)*24)+(((F15&gt;G15)+G15-F15)*24)+(((H15&gt;I15)+I15-H15)*24)-(((J15&gt;K15)+K15-J15)*24),2)))</f>
        <v>5</v>
      </c>
      <c r="N15" s="1">
        <v>6</v>
      </c>
      <c r="O15" s="40">
        <f>IF(L15="Überstd. Abbau",M15*-1,IF(A15="","",IF(M15-N15=0,"",IF(OR(M15=0,M15=""),"",M15-N15))))</f>
        <v>-1</v>
      </c>
      <c r="Q15" s="27"/>
    </row>
    <row r="16" spans="1:23" ht="20" customHeight="1" x14ac:dyDescent="0.15">
      <c r="A16" s="2">
        <v>45979</v>
      </c>
      <c r="B16" s="18">
        <v>0.29166666666666669</v>
      </c>
      <c r="C16" s="18">
        <v>0.54166666666666663</v>
      </c>
      <c r="D16" s="22"/>
      <c r="E16" s="22"/>
      <c r="F16" s="22"/>
      <c r="G16" s="22"/>
      <c r="H16" s="22"/>
      <c r="I16" s="22"/>
      <c r="J16" s="22"/>
      <c r="K16" s="23"/>
      <c r="L16" s="24" t="s">
        <v>24</v>
      </c>
      <c r="M16" s="37">
        <f t="shared" si="5"/>
        <v>6</v>
      </c>
      <c r="N16" s="1">
        <v>6</v>
      </c>
      <c r="O16" s="38" t="str">
        <f t="shared" ref="O16:O19" si="6">IF(L16="Überstd. Abbau",M16*-1,IF(A16="","",IF(M16-N16=0,"",IF(OR(M16=0,M16=""),"",M16-N16))))</f>
        <v/>
      </c>
      <c r="Q16" s="27"/>
    </row>
    <row r="17" spans="1:16" ht="20" customHeight="1" x14ac:dyDescent="0.15">
      <c r="A17" s="2">
        <v>45980</v>
      </c>
      <c r="B17" s="18">
        <v>0.29166666666666669</v>
      </c>
      <c r="C17" s="18">
        <v>0.54166666666666663</v>
      </c>
      <c r="D17" s="22"/>
      <c r="E17" s="22"/>
      <c r="F17" s="22"/>
      <c r="G17" s="22"/>
      <c r="H17" s="22"/>
      <c r="I17" s="22"/>
      <c r="J17" s="22"/>
      <c r="K17" s="22"/>
      <c r="L17" s="25" t="s">
        <v>24</v>
      </c>
      <c r="M17" s="37">
        <f t="shared" si="5"/>
        <v>6</v>
      </c>
      <c r="N17" s="1">
        <v>6</v>
      </c>
      <c r="O17" s="38" t="str">
        <f t="shared" si="6"/>
        <v/>
      </c>
    </row>
    <row r="18" spans="1:16" ht="20" customHeight="1" x14ac:dyDescent="0.15">
      <c r="A18" s="2">
        <v>45981</v>
      </c>
      <c r="B18" s="18">
        <v>0.29166666666666669</v>
      </c>
      <c r="C18" s="18">
        <v>0.54166666666666663</v>
      </c>
      <c r="D18" s="22"/>
      <c r="E18" s="22"/>
      <c r="F18" s="22"/>
      <c r="G18" s="22"/>
      <c r="H18" s="22"/>
      <c r="I18" s="22"/>
      <c r="J18" s="22"/>
      <c r="K18" s="22"/>
      <c r="L18" s="25" t="s">
        <v>24</v>
      </c>
      <c r="M18" s="37">
        <f t="shared" si="5"/>
        <v>6</v>
      </c>
      <c r="N18" s="1">
        <v>6</v>
      </c>
      <c r="O18" s="38" t="str">
        <f t="shared" si="6"/>
        <v/>
      </c>
    </row>
    <row r="19" spans="1:16" ht="20" customHeight="1" x14ac:dyDescent="0.15">
      <c r="A19" s="2">
        <v>45982</v>
      </c>
      <c r="B19" s="18">
        <v>0.29166666666666669</v>
      </c>
      <c r="C19" s="18">
        <v>0.54166666666666663</v>
      </c>
      <c r="D19" s="22"/>
      <c r="E19" s="22"/>
      <c r="F19" s="22"/>
      <c r="G19" s="22"/>
      <c r="H19" s="22"/>
      <c r="I19" s="22"/>
      <c r="J19" s="22"/>
      <c r="K19" s="22"/>
      <c r="L19" s="25" t="s">
        <v>24</v>
      </c>
      <c r="M19" s="37">
        <f t="shared" si="5"/>
        <v>6</v>
      </c>
      <c r="N19" s="1">
        <v>6</v>
      </c>
      <c r="O19" s="38" t="str">
        <f t="shared" si="6"/>
        <v/>
      </c>
    </row>
    <row r="20" spans="1:16" ht="20" customHeight="1" x14ac:dyDescent="0.15">
      <c r="A20" s="3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0" t="s">
        <v>1</v>
      </c>
      <c r="M20" s="35">
        <f t="shared" ref="M20" si="7">IF(SUM(M15:M19)=0,"",SUM(M15:M19))</f>
        <v>29</v>
      </c>
      <c r="N20" s="35">
        <f>IF(SUM(N15:N19)=0,"",SUM(N15:N19))</f>
        <v>30</v>
      </c>
      <c r="O20" s="39">
        <f>IF(SUM(O15:O19)=0,"",SUM(O15:O19))</f>
        <v>-1</v>
      </c>
    </row>
    <row r="21" spans="1:16" ht="20" customHeight="1" x14ac:dyDescent="0.15">
      <c r="A21" s="2">
        <v>45985</v>
      </c>
      <c r="B21" s="18">
        <v>0.33333333333333331</v>
      </c>
      <c r="C21" s="18">
        <v>0.54166666666666663</v>
      </c>
      <c r="D21" s="18"/>
      <c r="E21" s="18"/>
      <c r="F21" s="18"/>
      <c r="G21" s="18"/>
      <c r="H21" s="18">
        <v>0.66666666666666663</v>
      </c>
      <c r="I21" s="18">
        <v>0.75</v>
      </c>
      <c r="J21" s="18"/>
      <c r="K21" s="18"/>
      <c r="L21" s="19"/>
      <c r="M21" s="37">
        <f t="shared" ref="M21:M25" si="8">IF(L21="Überstd. Abbau",N21,IF(A21="",0,ROUND((((B21&gt;C21)+C21-B21)*24)+(((D21&gt;E21)+E21-D21)*24)+(((F21&gt;G21)+G21-F21)*24)+(((H21&gt;I21)+I21-H21)*24)-(((J21&gt;K21)+K21-J21)*24),2)))</f>
        <v>7</v>
      </c>
      <c r="N21" s="1">
        <v>6</v>
      </c>
      <c r="O21" s="38">
        <f t="shared" ref="O21:O25" si="9">IF(L21="Überstd. Abbau",M21*-1,IF(A21="","",IF(M21-N21=0,"",IF(OR(M21=0,M21=""),"",M21-N21))))</f>
        <v>1</v>
      </c>
    </row>
    <row r="22" spans="1:16" ht="20" customHeight="1" x14ac:dyDescent="0.15">
      <c r="A22" s="2">
        <v>45986</v>
      </c>
      <c r="B22" s="18">
        <v>0.29166666666666669</v>
      </c>
      <c r="C22" s="18">
        <v>0.54166666666666663</v>
      </c>
      <c r="D22" s="22"/>
      <c r="E22" s="22"/>
      <c r="F22" s="22"/>
      <c r="G22" s="22"/>
      <c r="H22" s="22"/>
      <c r="I22" s="22"/>
      <c r="J22" s="22"/>
      <c r="K22" s="23"/>
      <c r="L22" s="24"/>
      <c r="M22" s="37">
        <f t="shared" si="8"/>
        <v>6</v>
      </c>
      <c r="N22" s="1">
        <v>6</v>
      </c>
      <c r="O22" s="38" t="str">
        <f t="shared" si="9"/>
        <v/>
      </c>
    </row>
    <row r="23" spans="1:16" ht="20" customHeight="1" x14ac:dyDescent="0.15">
      <c r="A23" s="2">
        <v>45987</v>
      </c>
      <c r="B23" s="18">
        <v>0.29166666666666669</v>
      </c>
      <c r="C23" s="18">
        <v>0.54166666666666663</v>
      </c>
      <c r="D23" s="22"/>
      <c r="E23" s="22"/>
      <c r="F23" s="22"/>
      <c r="G23" s="22"/>
      <c r="H23" s="22"/>
      <c r="I23" s="22"/>
      <c r="J23" s="22"/>
      <c r="K23" s="22"/>
      <c r="L23" s="24"/>
      <c r="M23" s="37">
        <f t="shared" si="8"/>
        <v>6</v>
      </c>
      <c r="N23" s="1">
        <v>6</v>
      </c>
      <c r="O23" s="38" t="str">
        <f t="shared" si="9"/>
        <v/>
      </c>
    </row>
    <row r="24" spans="1:16" ht="20" customHeight="1" x14ac:dyDescent="0.15">
      <c r="A24" s="2">
        <v>45988</v>
      </c>
      <c r="B24" s="18">
        <v>0.29166666666666669</v>
      </c>
      <c r="C24" s="18">
        <v>0.54166666666666663</v>
      </c>
      <c r="D24" s="22"/>
      <c r="E24" s="22"/>
      <c r="F24" s="22"/>
      <c r="G24" s="22"/>
      <c r="H24" s="22"/>
      <c r="I24" s="22"/>
      <c r="J24" s="22"/>
      <c r="K24" s="22"/>
      <c r="L24" s="24"/>
      <c r="M24" s="37">
        <f t="shared" si="8"/>
        <v>6</v>
      </c>
      <c r="N24" s="1">
        <v>6</v>
      </c>
      <c r="O24" s="38" t="str">
        <f t="shared" si="9"/>
        <v/>
      </c>
      <c r="P24" s="32" t="s">
        <v>2</v>
      </c>
    </row>
    <row r="25" spans="1:16" ht="20" customHeight="1" x14ac:dyDescent="0.15">
      <c r="A25" s="2">
        <v>45989</v>
      </c>
      <c r="B25" s="18">
        <v>0.29166666666666669</v>
      </c>
      <c r="C25" s="18">
        <v>0.54166666666666663</v>
      </c>
      <c r="D25" s="22"/>
      <c r="E25" s="22"/>
      <c r="F25" s="22"/>
      <c r="G25" s="22"/>
      <c r="H25" s="22"/>
      <c r="I25" s="22"/>
      <c r="J25" s="22"/>
      <c r="K25" s="22"/>
      <c r="L25" s="24"/>
      <c r="M25" s="37">
        <f t="shared" si="8"/>
        <v>6</v>
      </c>
      <c r="N25" s="1">
        <v>6</v>
      </c>
      <c r="O25" s="38" t="str">
        <f t="shared" si="9"/>
        <v/>
      </c>
      <c r="P25" s="36">
        <f>SUM(M8,M14,M20,M26,M32)</f>
        <v>123</v>
      </c>
    </row>
    <row r="26" spans="1:16" ht="20" customHeight="1" x14ac:dyDescent="0.15">
      <c r="A26" s="3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 t="s">
        <v>1</v>
      </c>
      <c r="M26" s="35">
        <f t="shared" ref="M26" si="10">IF(SUM(M21:M25)=0,"",SUM(M21:M25))</f>
        <v>31</v>
      </c>
      <c r="N26" s="35">
        <f>IF(SUM(N21:N25)=0,"",SUM(N21:N25))</f>
        <v>30</v>
      </c>
      <c r="O26" s="39">
        <f>IF(SUM(O21:O25)=0,"",SUM(O21:O25))</f>
        <v>1</v>
      </c>
      <c r="P26" s="32" t="s">
        <v>11</v>
      </c>
    </row>
    <row r="27" spans="1:16" ht="20" customHeight="1" x14ac:dyDescent="0.15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9"/>
      <c r="M27" s="37">
        <f t="shared" ref="M27:M31" si="11">IF(L27="Überstd. Abbau",N27,IF(A27="",0,ROUND((((B27&gt;C27)+C27-B27)*24)+(((D27&gt;E27)+E27-D27)*24)+(((F27&gt;G27)+G27-F27)*24)+(((H27&gt;I27)+I27-H27)*24)-(((J27&gt;K27)+K27-J27)*24),2)))</f>
        <v>0</v>
      </c>
      <c r="N27" s="1">
        <v>0</v>
      </c>
      <c r="O27" s="40" t="str">
        <f t="shared" ref="O27:O31" si="12">IF(L27="Überstd. Abbau",M27*-1,IF(A27="","",IF(M27-N27=0,"",IF(OR(M27=0,M27=""),"",M27-N27))))</f>
        <v/>
      </c>
      <c r="P27" s="36">
        <f>SUM(O8,O14,O20,O26,O32)</f>
        <v>3</v>
      </c>
    </row>
    <row r="28" spans="1:16" ht="20" customHeight="1" x14ac:dyDescent="0.15">
      <c r="A28" s="2"/>
      <c r="B28" s="18"/>
      <c r="C28" s="18"/>
      <c r="D28" s="22"/>
      <c r="E28" s="22"/>
      <c r="F28" s="22"/>
      <c r="G28" s="22"/>
      <c r="H28" s="22"/>
      <c r="I28" s="22"/>
      <c r="J28" s="22"/>
      <c r="K28" s="23"/>
      <c r="L28" s="24"/>
      <c r="M28" s="37">
        <f t="shared" si="11"/>
        <v>0</v>
      </c>
      <c r="N28" s="1">
        <v>0</v>
      </c>
      <c r="O28" s="38" t="str">
        <f t="shared" si="12"/>
        <v/>
      </c>
      <c r="P28" s="32" t="s">
        <v>12</v>
      </c>
    </row>
    <row r="29" spans="1:16" ht="20" customHeight="1" x14ac:dyDescent="0.15">
      <c r="A29" s="2"/>
      <c r="B29" s="18"/>
      <c r="C29" s="18"/>
      <c r="D29" s="22"/>
      <c r="E29" s="22"/>
      <c r="F29" s="22"/>
      <c r="G29" s="22"/>
      <c r="H29" s="22"/>
      <c r="I29" s="22"/>
      <c r="J29" s="22"/>
      <c r="K29" s="22"/>
      <c r="L29" s="25"/>
      <c r="M29" s="37">
        <f t="shared" si="11"/>
        <v>0</v>
      </c>
      <c r="N29" s="1">
        <v>0</v>
      </c>
      <c r="O29" s="38" t="str">
        <f t="shared" si="12"/>
        <v/>
      </c>
      <c r="P29" s="33"/>
    </row>
    <row r="30" spans="1:16" ht="20" customHeight="1" x14ac:dyDescent="0.15">
      <c r="A30" s="2"/>
      <c r="B30" s="18"/>
      <c r="C30" s="18"/>
      <c r="D30" s="22"/>
      <c r="E30" s="22"/>
      <c r="F30" s="22"/>
      <c r="G30" s="22"/>
      <c r="H30" s="22"/>
      <c r="I30" s="22"/>
      <c r="J30" s="22"/>
      <c r="K30" s="22"/>
      <c r="L30" s="25"/>
      <c r="M30" s="37">
        <f t="shared" si="11"/>
        <v>0</v>
      </c>
      <c r="N30" s="1">
        <v>0</v>
      </c>
      <c r="O30" s="38" t="str">
        <f t="shared" si="12"/>
        <v/>
      </c>
      <c r="P30" s="32" t="s">
        <v>13</v>
      </c>
    </row>
    <row r="31" spans="1:16" ht="20" customHeight="1" x14ac:dyDescent="0.15">
      <c r="A31" s="2"/>
      <c r="B31" s="18"/>
      <c r="C31" s="18"/>
      <c r="D31" s="22"/>
      <c r="E31" s="22"/>
      <c r="F31" s="22"/>
      <c r="G31" s="22"/>
      <c r="H31" s="22"/>
      <c r="I31" s="22"/>
      <c r="J31" s="22"/>
      <c r="K31" s="22"/>
      <c r="L31" s="28"/>
      <c r="M31" s="37">
        <f t="shared" si="11"/>
        <v>0</v>
      </c>
      <c r="N31" s="1">
        <v>0</v>
      </c>
      <c r="O31" s="38" t="str">
        <f t="shared" si="12"/>
        <v/>
      </c>
      <c r="P31" s="34" t="s">
        <v>14</v>
      </c>
    </row>
    <row r="32" spans="1:16" ht="20" customHeight="1" x14ac:dyDescent="0.15">
      <c r="A32" s="3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30" t="s">
        <v>1</v>
      </c>
      <c r="M32" s="35" t="str">
        <f t="shared" ref="M32" si="13">IF(SUM(M27:M31)=0,"",SUM(M27:M31))</f>
        <v/>
      </c>
      <c r="N32" s="35" t="str">
        <f>IF(SUM(N27:N31)=0,"",SUM(N27:N31))</f>
        <v/>
      </c>
      <c r="O32" s="39" t="str">
        <f>IF(SUM(O27:O31)=0,"",SUM(O27:O31))</f>
        <v/>
      </c>
      <c r="P32" s="36">
        <f>SUM(P29,P27)</f>
        <v>3</v>
      </c>
    </row>
    <row r="33" spans="13:15" ht="20.25" customHeight="1" x14ac:dyDescent="0.15">
      <c r="M33" s="41">
        <f>SUM(M32,M26,M20,M14,M8)</f>
        <v>123</v>
      </c>
      <c r="N33" s="41">
        <f>SUM(N32,N26,N20,N14,N8)</f>
        <v>120</v>
      </c>
    </row>
    <row r="34" spans="13:15" x14ac:dyDescent="0.15">
      <c r="M34" s="4"/>
      <c r="N34" s="4"/>
      <c r="O34" s="4"/>
    </row>
  </sheetData>
  <sheetProtection algorithmName="SHA-512" hashValue="R0J4jgSuTPq76EJNz6lFfuBnGxtcl8RqFpbp54y+eSTf1qR9XzWKF/BjZKJGcj1X/3uxJgifzHwKqTYtkSLdNg==" saltValue="c7s7Qe08xbao0UYNhGTbrg==" spinCount="100000" sheet="1" objects="1" scenarios="1"/>
  <pageMargins left="0.34" right="0.31496062992125984" top="0.4" bottom="0.47244094488188981" header="0.19685039370078741" footer="0.31496062992125984"/>
  <pageSetup paperSize="9" scale="71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FC332A8FFD0345BF89B86803B2624D" ma:contentTypeVersion="13" ma:contentTypeDescription="Ein neues Dokument erstellen." ma:contentTypeScope="" ma:versionID="80a7a3f74d2522bb091aec53b22a5845">
  <xsd:schema xmlns:xsd="http://www.w3.org/2001/XMLSchema" xmlns:xs="http://www.w3.org/2001/XMLSchema" xmlns:p="http://schemas.microsoft.com/office/2006/metadata/properties" xmlns:ns2="8396d5a9-0efc-494b-8cf6-82df9eea7287" xmlns:ns3="923c4102-16b0-464f-a48e-1be37911faf2" targetNamespace="http://schemas.microsoft.com/office/2006/metadata/properties" ma:root="true" ma:fieldsID="e1dd6c0de6520359be4889d1adcf4c80" ns2:_="" ns3:_="">
    <xsd:import namespace="8396d5a9-0efc-494b-8cf6-82df9eea7287"/>
    <xsd:import namespace="923c4102-16b0-464f-a48e-1be37911f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6d5a9-0efc-494b-8cf6-82df9eea72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3c4102-16b0-464f-a48e-1be37911faf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B578DC-82ED-4094-BD28-F6B5E50B3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6d5a9-0efc-494b-8cf6-82df9eea7287"/>
    <ds:schemaRef ds:uri="923c4102-16b0-464f-a48e-1be37911fa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951CEA-5E93-4256-8B20-CDCCE4A8D6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BF03FD-B2C0-4271-B1F0-9EFF0934CD55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8396d5a9-0efc-494b-8cf6-82df9eea7287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Arbeitszeit 1 quer Hand</vt:lpstr>
    </vt:vector>
  </TitlesOfParts>
  <Company>clocko:do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kostenlose Arbeitszeiterfassung Vorlage</dc:title>
  <dc:subject>kostenlose Arbeitszeiterfassung Vorlage</dc:subject>
  <dc:creator>Vera Kessler</dc:creator>
  <cp:keywords>Arbeitszeiterfassung; Vorlage; kostenlos; Excel</cp:keywords>
  <dc:description>kostenlose Arbeitszeiterfassung Vorlage für Excel</dc:description>
  <cp:lastModifiedBy>Nils Lutz</cp:lastModifiedBy>
  <cp:lastPrinted>2025-10-13T20:33:57Z</cp:lastPrinted>
  <dcterms:created xsi:type="dcterms:W3CDTF">2018-04-11T08:07:26Z</dcterms:created>
  <dcterms:modified xsi:type="dcterms:W3CDTF">2026-04-04T11:52:59Z</dcterms:modified>
  <cp:category>clocko:do Excel Vorlage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0x01010072FC332A8FFD0345BF89B86803B2624D</vt:lpwstr>
  </property>
</Properties>
</file>